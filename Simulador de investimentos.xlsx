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iz\OneDrive\Desktop\EXCEL COM INTELIGENCIA ARTIFICIAL\"/>
    </mc:Choice>
  </mc:AlternateContent>
  <xr:revisionPtr revIDLastSave="0" documentId="8_{AD167C6F-45B2-4330-9A0E-293C3A60A6C6}" xr6:coauthVersionLast="47" xr6:coauthVersionMax="47" xr10:uidLastSave="{00000000-0000-0000-0000-000000000000}"/>
  <bookViews>
    <workbookView xWindow="-120" yWindow="-120" windowWidth="24240" windowHeight="13020" xr2:uid="{690FE807-AA21-42B0-AB14-2B87CA0967A4}"/>
  </bookViews>
  <sheets>
    <sheet name="Planilha1" sheetId="1" r:id="rId1"/>
    <sheet name="Planilha2" sheetId="2" r:id="rId2"/>
  </sheets>
  <definedNames>
    <definedName name="Aporte">Planilha1!$D$16</definedName>
    <definedName name="Patrimonio">Planilha1!$D$19</definedName>
    <definedName name="Qtd_anos">Planilha1!$D$17</definedName>
    <definedName name="Rendimento_carteira">Planilha1!$D$12</definedName>
    <definedName name="Salario">Planilha1!$D$11</definedName>
    <definedName name="sugestao_investimento">Planilha1!$D$13</definedName>
    <definedName name="Tabela">Planilha2!$A$1:$D$20</definedName>
    <definedName name="Taxa_mensal">Planilha1!$D$18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3" i="1" l="1"/>
  <c r="D23" i="1" s="1"/>
  <c r="D19" i="1"/>
  <c r="D20" i="1" s="1"/>
  <c r="G5" i="2"/>
  <c r="A9" i="2"/>
  <c r="A10" i="2"/>
  <c r="A16" i="2"/>
  <c r="C38" i="1" s="1"/>
  <c r="A17" i="2"/>
  <c r="A18" i="2"/>
  <c r="A19" i="2"/>
  <c r="A20" i="2"/>
  <c r="A15" i="2"/>
  <c r="C34" i="1" s="1"/>
  <c r="A11" i="2"/>
  <c r="A12" i="2"/>
  <c r="A13" i="2"/>
  <c r="A14" i="2"/>
  <c r="A4" i="2"/>
  <c r="A5" i="2"/>
  <c r="A6" i="2"/>
  <c r="A7" i="2"/>
  <c r="A8" i="2"/>
  <c r="A3" i="2"/>
  <c r="C31" i="1"/>
  <c r="D13" i="1"/>
  <c r="C24" i="1"/>
  <c r="D24" i="1" s="1"/>
  <c r="C25" i="1"/>
  <c r="D25" i="1" s="1"/>
  <c r="C26" i="1"/>
  <c r="D26" i="1" s="1"/>
  <c r="C27" i="1"/>
  <c r="D27" i="1" s="1"/>
  <c r="C37" i="1" l="1"/>
  <c r="D37" i="1" s="1"/>
  <c r="C35" i="1"/>
  <c r="D35" i="1" s="1"/>
  <c r="C39" i="1"/>
  <c r="D39" i="1" s="1"/>
  <c r="C36" i="1"/>
  <c r="D36" i="1" s="1"/>
  <c r="D38" i="1"/>
  <c r="D34" i="1"/>
  <c r="D40" i="1" l="1"/>
</calcChain>
</file>

<file path=xl/sharedStrings.xml><?xml version="1.0" encoding="utf-8"?>
<sst xmlns="http://schemas.openxmlformats.org/spreadsheetml/2006/main" count="71" uniqueCount="35">
  <si>
    <t>Por quantos anos?</t>
  </si>
  <si>
    <t>Taxa de Rendimento mensal?</t>
  </si>
  <si>
    <t>Patrimônio acumulado?</t>
  </si>
  <si>
    <t>Dividendos Mensais?</t>
  </si>
  <si>
    <t>Quanto investir por mês?</t>
  </si>
  <si>
    <t>INVESTIMENTO MENSAL</t>
  </si>
  <si>
    <t>Quantos em 2 anos?</t>
  </si>
  <si>
    <t>Quantos em 5 anos?</t>
  </si>
  <si>
    <t>Quantos em 10 anos?</t>
  </si>
  <si>
    <t>Quantos em 20 anos?</t>
  </si>
  <si>
    <t>Quantos em 30 anos?</t>
  </si>
  <si>
    <t>Cenários</t>
  </si>
  <si>
    <t>Dividendo</t>
  </si>
  <si>
    <t>Salário</t>
  </si>
  <si>
    <t>Rendimento da Carteira</t>
  </si>
  <si>
    <t>Sugestção de Investimento</t>
  </si>
  <si>
    <t>CONFIGURAÇÃO</t>
  </si>
  <si>
    <t>Perfil</t>
  </si>
  <si>
    <t>VALOR A SER INVESTIDO POR MÊS</t>
  </si>
  <si>
    <t>TIPO DE FII</t>
  </si>
  <si>
    <t>Percentual Sugerido</t>
  </si>
  <si>
    <t>Valores</t>
  </si>
  <si>
    <t>PAPEL</t>
  </si>
  <si>
    <t>TIIJOLO</t>
  </si>
  <si>
    <t>DESENVOLVIMENTO</t>
  </si>
  <si>
    <t>HOTELARIAS</t>
  </si>
  <si>
    <t>HIBRIDOS</t>
  </si>
  <si>
    <t>FOF's</t>
  </si>
  <si>
    <t>%</t>
  </si>
  <si>
    <t>Moderado</t>
  </si>
  <si>
    <t>Conservador</t>
  </si>
  <si>
    <t>PERFIS</t>
  </si>
  <si>
    <t>CHAVE</t>
  </si>
  <si>
    <t>Moderado-TIIJOLO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</si>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</sst>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5">
    <font>
      <sz val="11"/>
      <color theme="1"/>
      <name val="Calibri"/>
      <family val="2"/>
      <scheme val="minor"/>
    </font>
    <font>
      <b/>
      <sz val="13"/>
      <color theme="1"/>
      <name val="APTOS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6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0"/>
      <name val="Arial"/>
      <family val="2"/>
    </font>
    <font>
      <b/>
      <sz val="20"/>
      <color theme="0"/>
      <name val="Calibri"/>
      <family val="2"/>
      <scheme val="minor"/>
    </font>
    <font>
      <b/>
      <sz val="14"/>
      <color theme="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9C5700"/>
      <name val="Arial"/>
      <family val="2"/>
    </font>
    <font>
      <sz val="12"/>
      <color rgb="FF9C57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theme="0" tint="-0.24994659260841701"/>
      </left>
      <right style="thick">
        <color auto="1"/>
      </right>
      <top style="thick">
        <color auto="1"/>
      </top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auto="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auto="1"/>
      </bottom>
      <diagonal/>
    </border>
    <border>
      <left style="thin">
        <color theme="0" tint="-0.24994659260841701"/>
      </left>
      <right style="thick">
        <color auto="1"/>
      </right>
      <top style="thin">
        <color theme="0" tint="-0.24994659260841701"/>
      </top>
      <bottom style="thick">
        <color auto="1"/>
      </bottom>
      <diagonal/>
    </border>
    <border>
      <left/>
      <right style="thick">
        <color indexed="64"/>
      </right>
      <top style="thick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ck">
        <color indexed="64"/>
      </right>
      <top style="thin">
        <color theme="0" tint="-0.14996795556505021"/>
      </top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ck">
        <color auto="1"/>
      </top>
      <bottom style="thin">
        <color theme="0" tint="-0.24994659260841701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/>
      <right/>
      <top style="thick">
        <color indexed="64"/>
      </top>
      <bottom/>
      <diagonal/>
    </border>
    <border>
      <left style="thin">
        <color theme="0" tint="-0.14996795556505021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n">
        <color theme="0" tint="-0.14996795556505021"/>
      </right>
      <top/>
      <bottom style="thick">
        <color indexed="64"/>
      </bottom>
      <diagonal/>
    </border>
    <border>
      <left style="thin">
        <color theme="0" tint="-0.14996795556505021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" fillId="7" borderId="0" applyNumberFormat="0" applyBorder="0" applyAlignment="0" applyProtection="0"/>
  </cellStyleXfs>
  <cellXfs count="70">
    <xf numFmtId="0" fontId="0" fillId="0" borderId="0" xfId="0"/>
    <xf numFmtId="8" fontId="0" fillId="0" borderId="0" xfId="0" applyNumberFormat="1"/>
    <xf numFmtId="0" fontId="2" fillId="0" borderId="0" xfId="0" applyFont="1"/>
    <xf numFmtId="8" fontId="0" fillId="4" borderId="3" xfId="0" applyNumberFormat="1" applyFill="1" applyBorder="1" applyAlignment="1">
      <alignment horizontal="center"/>
    </xf>
    <xf numFmtId="8" fontId="0" fillId="4" borderId="4" xfId="0" applyNumberFormat="1" applyFill="1" applyBorder="1" applyAlignment="1">
      <alignment horizontal="center"/>
    </xf>
    <xf numFmtId="8" fontId="0" fillId="4" borderId="6" xfId="0" applyNumberFormat="1" applyFill="1" applyBorder="1" applyAlignment="1">
      <alignment horizontal="center"/>
    </xf>
    <xf numFmtId="8" fontId="0" fillId="4" borderId="7" xfId="0" applyNumberFormat="1" applyFill="1" applyBorder="1" applyAlignment="1">
      <alignment horizontal="center"/>
    </xf>
    <xf numFmtId="0" fontId="6" fillId="4" borderId="2" xfId="0" applyFont="1" applyFill="1" applyBorder="1"/>
    <xf numFmtId="0" fontId="6" fillId="0" borderId="0" xfId="0" applyFont="1"/>
    <xf numFmtId="0" fontId="6" fillId="4" borderId="5" xfId="0" applyFont="1" applyFill="1" applyBorder="1"/>
    <xf numFmtId="0" fontId="0" fillId="2" borderId="8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14" xfId="0" applyFont="1" applyFill="1" applyBorder="1" applyAlignment="1">
      <alignment vertical="center"/>
    </xf>
    <xf numFmtId="164" fontId="0" fillId="3" borderId="18" xfId="0" applyNumberFormat="1" applyFill="1" applyBorder="1" applyAlignment="1">
      <alignment horizontal="center"/>
    </xf>
    <xf numFmtId="164" fontId="0" fillId="3" borderId="21" xfId="0" applyNumberFormat="1" applyFill="1" applyBorder="1" applyAlignment="1">
      <alignment horizontal="center"/>
    </xf>
    <xf numFmtId="164" fontId="1" fillId="0" borderId="9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0" fontId="1" fillId="0" borderId="9" xfId="0" applyNumberFormat="1" applyFont="1" applyBorder="1" applyAlignment="1">
      <alignment horizontal="center"/>
    </xf>
    <xf numFmtId="8" fontId="1" fillId="4" borderId="9" xfId="0" applyNumberFormat="1" applyFont="1" applyFill="1" applyBorder="1" applyAlignment="1">
      <alignment horizontal="center"/>
    </xf>
    <xf numFmtId="164" fontId="1" fillId="4" borderId="10" xfId="0" applyNumberFormat="1" applyFont="1" applyFill="1" applyBorder="1" applyAlignment="1">
      <alignment horizontal="center"/>
    </xf>
    <xf numFmtId="0" fontId="10" fillId="5" borderId="1" xfId="0" applyFont="1" applyFill="1" applyBorder="1"/>
    <xf numFmtId="0" fontId="4" fillId="7" borderId="0" xfId="3"/>
    <xf numFmtId="0" fontId="12" fillId="0" borderId="0" xfId="0" applyFont="1"/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 applyAlignment="1">
      <alignment horizontal="center"/>
    </xf>
    <xf numFmtId="0" fontId="13" fillId="7" borderId="0" xfId="3" applyFont="1" applyBorder="1"/>
    <xf numFmtId="0" fontId="7" fillId="4" borderId="0" xfId="0" applyFont="1" applyFill="1"/>
    <xf numFmtId="164" fontId="7" fillId="4" borderId="0" xfId="1" applyNumberFormat="1" applyFont="1" applyFill="1" applyAlignment="1">
      <alignment horizontal="center"/>
    </xf>
    <xf numFmtId="0" fontId="6" fillId="0" borderId="0" xfId="0" applyFont="1" applyAlignment="1">
      <alignment horizontal="center"/>
    </xf>
    <xf numFmtId="9" fontId="6" fillId="0" borderId="0" xfId="0" applyNumberFormat="1" applyFont="1" applyAlignment="1">
      <alignment horizontal="center"/>
    </xf>
    <xf numFmtId="164" fontId="6" fillId="0" borderId="0" xfId="0" applyNumberFormat="1" applyFont="1"/>
    <xf numFmtId="0" fontId="0" fillId="8" borderId="0" xfId="0" applyFill="1"/>
    <xf numFmtId="164" fontId="0" fillId="8" borderId="0" xfId="0" applyNumberFormat="1" applyFill="1"/>
    <xf numFmtId="0" fontId="7" fillId="8" borderId="0" xfId="0" applyFont="1" applyFill="1" applyAlignment="1">
      <alignment horizontal="center"/>
    </xf>
    <xf numFmtId="0" fontId="7" fillId="8" borderId="0" xfId="0" applyFont="1" applyFill="1"/>
    <xf numFmtId="0" fontId="12" fillId="0" borderId="0" xfId="3" applyFont="1" applyFill="1"/>
    <xf numFmtId="9" fontId="12" fillId="0" borderId="0" xfId="0" applyNumberFormat="1" applyFont="1"/>
    <xf numFmtId="0" fontId="11" fillId="0" borderId="0" xfId="0" applyFont="1" applyFill="1" applyAlignment="1">
      <alignment horizontal="center"/>
    </xf>
    <xf numFmtId="0" fontId="12" fillId="0" borderId="0" xfId="3" applyFont="1" applyFill="1" applyBorder="1"/>
    <xf numFmtId="0" fontId="12" fillId="0" borderId="0" xfId="0" applyFont="1" applyBorder="1" applyAlignment="1">
      <alignment horizontal="center"/>
    </xf>
    <xf numFmtId="9" fontId="12" fillId="0" borderId="0" xfId="0" applyNumberFormat="1" applyFont="1" applyBorder="1"/>
    <xf numFmtId="0" fontId="12" fillId="0" borderId="22" xfId="3" applyFont="1" applyFill="1" applyBorder="1"/>
    <xf numFmtId="0" fontId="12" fillId="0" borderId="22" xfId="0" applyFont="1" applyBorder="1" applyAlignment="1">
      <alignment horizontal="center"/>
    </xf>
    <xf numFmtId="9" fontId="12" fillId="0" borderId="22" xfId="0" applyNumberFormat="1" applyFont="1" applyBorder="1"/>
    <xf numFmtId="0" fontId="12" fillId="0" borderId="23" xfId="3" applyFont="1" applyFill="1" applyBorder="1"/>
    <xf numFmtId="0" fontId="12" fillId="0" borderId="23" xfId="0" applyFont="1" applyBorder="1" applyAlignment="1">
      <alignment horizontal="center"/>
    </xf>
    <xf numFmtId="9" fontId="12" fillId="0" borderId="23" xfId="0" applyNumberFormat="1" applyFont="1" applyBorder="1"/>
    <xf numFmtId="0" fontId="12" fillId="0" borderId="0" xfId="0" applyFont="1" applyBorder="1"/>
    <xf numFmtId="0" fontId="12" fillId="0" borderId="22" xfId="0" applyFont="1" applyBorder="1"/>
    <xf numFmtId="9" fontId="4" fillId="7" borderId="0" xfId="2" applyFont="1" applyFill="1"/>
    <xf numFmtId="0" fontId="14" fillId="7" borderId="0" xfId="3" applyFont="1" applyAlignment="1">
      <alignment horizontal="center"/>
    </xf>
    <xf numFmtId="10" fontId="0" fillId="3" borderId="18" xfId="0" applyNumberFormat="1" applyFill="1" applyBorder="1" applyAlignment="1">
      <alignment horizontal="center"/>
    </xf>
    <xf numFmtId="0" fontId="8" fillId="6" borderId="13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9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/>
    </xf>
    <xf numFmtId="0" fontId="9" fillId="2" borderId="1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4" borderId="15" xfId="0" applyFont="1" applyFill="1" applyBorder="1" applyAlignment="1">
      <alignment horizontal="center"/>
    </xf>
    <xf numFmtId="0" fontId="7" fillId="4" borderId="16" xfId="0" applyFont="1" applyFill="1" applyBorder="1" applyAlignment="1">
      <alignment horizontal="center"/>
    </xf>
    <xf numFmtId="0" fontId="7" fillId="4" borderId="19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0" fillId="0" borderId="0" xfId="0" applyAlignment="1">
      <alignment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548235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DF-4DFA-BDC2-CD0CF643DE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DF-4DFA-BDC2-CD0CF643DE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DF-4DFA-BDC2-CD0CF643DE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DF-4DFA-BDC2-CD0CF643DE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5DF-4DFA-BDC2-CD0CF643DE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5DF-4DFA-BDC2-CD0CF643DEF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TIIJOLO</c:v>
                </c:pt>
                <c:pt idx="2">
                  <c:v>HIBRIDOS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C5-425D-B0F0-DD1A21900C4C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5DF-4DFA-BDC2-CD0CF643DEF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5DF-4DFA-BDC2-CD0CF643DEF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5DF-4DFA-BDC2-CD0CF643DEF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5DF-4DFA-BDC2-CD0CF643DEF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5DF-4DFA-BDC2-CD0CF643DEF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5DF-4DFA-BDC2-CD0CF643DEFB}"/>
              </c:ext>
            </c:extLst>
          </c:dPt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TIIJOLO</c:v>
                </c:pt>
                <c:pt idx="2">
                  <c:v>HIBRIDOS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Planilha1!$D$34:$D$39</c:f>
              <c:numCache>
                <c:formatCode>"R$"\ #,##0.00</c:formatCode>
                <c:ptCount val="6"/>
                <c:pt idx="0">
                  <c:v>64</c:v>
                </c:pt>
                <c:pt idx="1">
                  <c:v>70</c:v>
                </c:pt>
                <c:pt idx="2">
                  <c:v>16</c:v>
                </c:pt>
                <c:pt idx="3">
                  <c:v>10</c:v>
                </c:pt>
                <c:pt idx="4">
                  <c:v>20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C5-425D-B0F0-DD1A21900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702469</xdr:colOff>
      <xdr:row>42</xdr:row>
      <xdr:rowOff>39290</xdr:rowOff>
    </xdr:from>
    <xdr:to>
      <xdr:col>3</xdr:col>
      <xdr:colOff>928688</xdr:colOff>
      <xdr:row>56</xdr:row>
      <xdr:rowOff>115490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FC533D2-B60F-4F79-A871-3FA248BC4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11906</xdr:colOff>
      <xdr:row>1</xdr:row>
      <xdr:rowOff>95250</xdr:rowOff>
    </xdr:from>
    <xdr:to>
      <xdr:col>4</xdr:col>
      <xdr:colOff>71438</xdr:colOff>
      <xdr:row>8</xdr:row>
      <xdr:rowOff>47625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CB049C3-13EB-4234-8FFA-803EA1B68636}"/>
            </a:ext>
          </a:extLst>
        </xdr:cNvPr>
        <xdr:cNvSpPr/>
      </xdr:nvSpPr>
      <xdr:spPr>
        <a:xfrm>
          <a:off x="226219" y="285750"/>
          <a:ext cx="5619750" cy="1285875"/>
        </a:xfrm>
        <a:prstGeom prst="roundRect">
          <a:avLst/>
        </a:prstGeom>
        <a:solidFill>
          <a:schemeClr val="accent6">
            <a:lumMod val="50000"/>
          </a:schemeClr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4800">
              <a:latin typeface="Arial" panose="020B0604020202020204" pitchFamily="34" charset="0"/>
              <a:cs typeface="Arial" panose="020B0604020202020204" pitchFamily="34" charset="0"/>
            </a:rPr>
            <a:t>    Simule</a:t>
          </a:r>
          <a:r>
            <a:rPr lang="pt-BR" sz="4800" baseline="0">
              <a:latin typeface="Arial" panose="020B0604020202020204" pitchFamily="34" charset="0"/>
              <a:cs typeface="Arial" panose="020B0604020202020204" pitchFamily="34" charset="0"/>
            </a:rPr>
            <a:t> Invest</a:t>
          </a:r>
          <a:endParaRPr lang="pt-BR" sz="4800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1</xdr:col>
      <xdr:colOff>35718</xdr:colOff>
      <xdr:row>1</xdr:row>
      <xdr:rowOff>154781</xdr:rowOff>
    </xdr:from>
    <xdr:to>
      <xdr:col>1</xdr:col>
      <xdr:colOff>1321592</xdr:colOff>
      <xdr:row>8</xdr:row>
      <xdr:rowOff>107155</xdr:rowOff>
    </xdr:to>
    <xdr:pic>
      <xdr:nvPicPr>
        <xdr:cNvPr id="6" name="Gráfico 5" descr="Gráfico de barras com tendência ascendente com preenchimento sólido">
          <a:extLst>
            <a:ext uri="{FF2B5EF4-FFF2-40B4-BE49-F238E27FC236}">
              <a16:creationId xmlns:a16="http://schemas.microsoft.com/office/drawing/2014/main" id="{F43DD50F-CCC8-4670-AF69-8E5A37FEC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50031" y="345281"/>
          <a:ext cx="1285874" cy="12858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C48F-A157-4519-868C-01CEFDE5C8EB}">
  <dimension ref="A9:J71"/>
  <sheetViews>
    <sheetView showGridLines="0" tabSelected="1" topLeftCell="A25" zoomScale="80" zoomScaleNormal="80" workbookViewId="0">
      <selection activeCell="H9" sqref="H9"/>
    </sheetView>
  </sheetViews>
  <sheetFormatPr defaultColWidth="0" defaultRowHeight="15"/>
  <cols>
    <col min="1" max="1" width="3.28515625" bestFit="1" customWidth="1"/>
    <col min="2" max="2" width="40.5703125" bestFit="1" customWidth="1"/>
    <col min="3" max="3" width="24.5703125" customWidth="1"/>
    <col min="4" max="4" width="18.140625" bestFit="1" customWidth="1"/>
    <col min="5" max="5" width="5.85546875" customWidth="1"/>
    <col min="6" max="6" width="5" customWidth="1"/>
    <col min="7" max="7" width="4.7109375" customWidth="1"/>
    <col min="8" max="8" width="5.7109375" customWidth="1"/>
    <col min="9" max="10" width="0" hidden="1" customWidth="1"/>
    <col min="11" max="16384" width="9.140625" hidden="1"/>
  </cols>
  <sheetData>
    <row r="9" spans="2:8" ht="15.75" thickBot="1"/>
    <row r="10" spans="2:8" ht="21" thickTop="1">
      <c r="B10" s="53" t="s">
        <v>16</v>
      </c>
      <c r="C10" s="54"/>
      <c r="D10" s="12"/>
    </row>
    <row r="11" spans="2:8" ht="15.75">
      <c r="B11" s="55" t="s">
        <v>13</v>
      </c>
      <c r="C11" s="56"/>
      <c r="D11" s="13">
        <v>4200</v>
      </c>
      <c r="H11" s="69"/>
    </row>
    <row r="12" spans="2:8" ht="15.75">
      <c r="B12" s="55" t="s">
        <v>14</v>
      </c>
      <c r="C12" s="56"/>
      <c r="D12" s="52">
        <v>6.0000000000000001E-3</v>
      </c>
    </row>
    <row r="13" spans="2:8" ht="16.5" thickBot="1">
      <c r="B13" s="57" t="s">
        <v>15</v>
      </c>
      <c r="C13" s="58"/>
      <c r="D13" s="14">
        <f>D11*30%</f>
        <v>1260</v>
      </c>
    </row>
    <row r="14" spans="2:8" ht="17.25" thickTop="1" thickBot="1">
      <c r="B14" s="8"/>
    </row>
    <row r="15" spans="2:8" ht="30" customHeight="1" thickTop="1">
      <c r="B15" s="61" t="s">
        <v>5</v>
      </c>
      <c r="C15" s="62"/>
      <c r="D15" s="10"/>
    </row>
    <row r="16" spans="2:8" ht="16.5">
      <c r="B16" s="63" t="s">
        <v>4</v>
      </c>
      <c r="C16" s="64"/>
      <c r="D16" s="15">
        <v>200</v>
      </c>
    </row>
    <row r="17" spans="1:4" ht="16.5">
      <c r="B17" s="63" t="s">
        <v>0</v>
      </c>
      <c r="C17" s="64"/>
      <c r="D17" s="16">
        <v>5</v>
      </c>
    </row>
    <row r="18" spans="1:4" ht="16.5">
      <c r="B18" s="63" t="s">
        <v>1</v>
      </c>
      <c r="C18" s="64"/>
      <c r="D18" s="17">
        <v>1.0789999999999999E-2</v>
      </c>
    </row>
    <row r="19" spans="1:4" ht="16.5">
      <c r="B19" s="65" t="s">
        <v>2</v>
      </c>
      <c r="C19" s="66"/>
      <c r="D19" s="18">
        <f>FV(Taxa_mensal,Qtd_anos*12,Aporte*-1)</f>
        <v>16755.382799697527</v>
      </c>
    </row>
    <row r="20" spans="1:4" ht="17.25" thickBot="1">
      <c r="B20" s="67" t="s">
        <v>3</v>
      </c>
      <c r="C20" s="68"/>
      <c r="D20" s="19">
        <f>D19*D12</f>
        <v>100.53229679818516</v>
      </c>
    </row>
    <row r="21" spans="1:4" ht="16.5" thickTop="1" thickBot="1"/>
    <row r="22" spans="1:4" ht="27" thickTop="1">
      <c r="B22" s="59" t="s">
        <v>11</v>
      </c>
      <c r="C22" s="60"/>
      <c r="D22" s="20" t="s">
        <v>12</v>
      </c>
    </row>
    <row r="23" spans="1:4" ht="15.75">
      <c r="A23" s="2">
        <v>2</v>
      </c>
      <c r="B23" s="7" t="s">
        <v>6</v>
      </c>
      <c r="C23" s="3">
        <f>FV($D$18,$A23*12,$D$16*-1)</f>
        <v>5445.5254595290435</v>
      </c>
      <c r="D23" s="4">
        <f>C23*Rendimento_carteira</f>
        <v>32.673152757174265</v>
      </c>
    </row>
    <row r="24" spans="1:4" ht="15.75">
      <c r="A24" s="2">
        <v>5</v>
      </c>
      <c r="B24" s="7" t="s">
        <v>7</v>
      </c>
      <c r="C24" s="3">
        <f>FV($D$18,$A24*12,$D$16*-1)</f>
        <v>16755.382799697527</v>
      </c>
      <c r="D24" s="4">
        <f>C24*Rendimento_carteira</f>
        <v>100.53229679818516</v>
      </c>
    </row>
    <row r="25" spans="1:4" ht="15.75">
      <c r="A25" s="2">
        <v>10</v>
      </c>
      <c r="B25" s="7" t="s">
        <v>8</v>
      </c>
      <c r="C25" s="3">
        <f>FV($D$18,$A25*12,$D$16*-1)</f>
        <v>48656.842506034438</v>
      </c>
      <c r="D25" s="4">
        <f>C25*Rendimento_carteira</f>
        <v>291.94105503620665</v>
      </c>
    </row>
    <row r="26" spans="1:4" ht="15.75">
      <c r="A26" s="2">
        <v>20</v>
      </c>
      <c r="B26" s="7" t="s">
        <v>9</v>
      </c>
      <c r="C26" s="3">
        <f>FV($D$18,$A26*12,$D$16*-1)</f>
        <v>225039.68001941612</v>
      </c>
      <c r="D26" s="4">
        <f>C26*Rendimento_carteira</f>
        <v>1350.2380801164968</v>
      </c>
    </row>
    <row r="27" spans="1:4" ht="16.5" thickBot="1">
      <c r="A27" s="2">
        <v>30</v>
      </c>
      <c r="B27" s="9" t="s">
        <v>10</v>
      </c>
      <c r="C27" s="5">
        <f>FV($D$18,$A27*12,$D$16*-1)</f>
        <v>864433.93100094295</v>
      </c>
      <c r="D27" s="6">
        <f>C27*Rendimento_carteira</f>
        <v>5186.6035860056581</v>
      </c>
    </row>
    <row r="28" spans="1:4" ht="15.75" thickTop="1">
      <c r="C28" s="1"/>
    </row>
    <row r="30" spans="1:4" ht="15.75">
      <c r="B30" s="26" t="s">
        <v>17</v>
      </c>
      <c r="C30" s="51" t="s">
        <v>29</v>
      </c>
      <c r="D30" s="21"/>
    </row>
    <row r="31" spans="1:4" ht="15.75">
      <c r="B31" s="27" t="s">
        <v>18</v>
      </c>
      <c r="C31" s="28">
        <f>Aporte</f>
        <v>200</v>
      </c>
      <c r="D31" s="27"/>
    </row>
    <row r="32" spans="1:4" ht="15.75">
      <c r="B32" s="8"/>
      <c r="C32" s="8"/>
      <c r="D32" s="8"/>
    </row>
    <row r="33" spans="2:4" ht="15.75">
      <c r="B33" s="34" t="s">
        <v>19</v>
      </c>
      <c r="C33" s="35" t="s">
        <v>20</v>
      </c>
      <c r="D33" s="35" t="s">
        <v>21</v>
      </c>
    </row>
    <row r="34" spans="2:4" ht="15.75">
      <c r="B34" s="29" t="s">
        <v>22</v>
      </c>
      <c r="C34" s="30">
        <f t="shared" ref="C34:C39" si="0">VLOOKUP($C$30&amp;"-"&amp;B34,Tabela,4,FALSE)</f>
        <v>0.32</v>
      </c>
      <c r="D34" s="31">
        <f>C34*$C$31</f>
        <v>64</v>
      </c>
    </row>
    <row r="35" spans="2:4" ht="15.75">
      <c r="B35" s="29" t="s">
        <v>23</v>
      </c>
      <c r="C35" s="30">
        <f t="shared" si="0"/>
        <v>0.35</v>
      </c>
      <c r="D35" s="31">
        <f t="shared" ref="D35:D39" si="1">C35*$C$31</f>
        <v>70</v>
      </c>
    </row>
    <row r="36" spans="2:4" ht="15.75">
      <c r="B36" s="29" t="s">
        <v>26</v>
      </c>
      <c r="C36" s="30">
        <f t="shared" si="0"/>
        <v>0.08</v>
      </c>
      <c r="D36" s="31">
        <f t="shared" si="1"/>
        <v>16</v>
      </c>
    </row>
    <row r="37" spans="2:4" ht="15.75">
      <c r="B37" s="29" t="s">
        <v>27</v>
      </c>
      <c r="C37" s="30">
        <f t="shared" si="0"/>
        <v>0.05</v>
      </c>
      <c r="D37" s="31">
        <f t="shared" si="1"/>
        <v>10</v>
      </c>
    </row>
    <row r="38" spans="2:4" ht="15.75">
      <c r="B38" s="29" t="s">
        <v>24</v>
      </c>
      <c r="C38" s="30">
        <f t="shared" si="0"/>
        <v>0.1</v>
      </c>
      <c r="D38" s="31">
        <f t="shared" si="1"/>
        <v>20</v>
      </c>
    </row>
    <row r="39" spans="2:4" ht="15.75">
      <c r="B39" s="29" t="s">
        <v>25</v>
      </c>
      <c r="C39" s="30">
        <f t="shared" si="0"/>
        <v>0.1</v>
      </c>
      <c r="D39" s="31">
        <f t="shared" si="1"/>
        <v>20</v>
      </c>
    </row>
    <row r="40" spans="2:4">
      <c r="B40" s="32"/>
      <c r="C40" s="32"/>
      <c r="D40" s="33">
        <f>SUM(D34:D39)</f>
        <v>200</v>
      </c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customFormat="1"/>
    <row r="66" customFormat="1"/>
    <row r="67" customFormat="1"/>
    <row r="68" customFormat="1"/>
    <row r="69" customFormat="1"/>
    <row r="70" customFormat="1"/>
    <row r="71" customFormat="1"/>
  </sheetData>
  <mergeCells count="11">
    <mergeCell ref="B10:C10"/>
    <mergeCell ref="B11:C11"/>
    <mergeCell ref="B12:C12"/>
    <mergeCell ref="B13:C13"/>
    <mergeCell ref="B22:C22"/>
    <mergeCell ref="B15:C15"/>
    <mergeCell ref="B16:C16"/>
    <mergeCell ref="B17:C17"/>
    <mergeCell ref="B18:C18"/>
    <mergeCell ref="B19:C19"/>
    <mergeCell ref="B20:C20"/>
  </mergeCells>
  <dataValidations count="1">
    <dataValidation type="list" allowBlank="1" showInputMessage="1" showErrorMessage="1" sqref="C30" xr:uid="{DD99B025-2C07-4D45-800B-27874761F04B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F1E71-28D9-43FF-96FB-E3DFB3AE23D7}">
  <dimension ref="A2:G20"/>
  <sheetViews>
    <sheetView workbookViewId="0">
      <selection activeCell="B15" sqref="B15:B20"/>
    </sheetView>
  </sheetViews>
  <sheetFormatPr defaultRowHeight="15"/>
  <cols>
    <col min="1" max="1" width="31.28515625" bestFit="1" customWidth="1"/>
    <col min="2" max="2" width="15.7109375" bestFit="1" customWidth="1"/>
    <col min="3" max="3" width="24.28515625" bestFit="1" customWidth="1"/>
    <col min="6" max="6" width="17.7109375" bestFit="1" customWidth="1"/>
  </cols>
  <sheetData>
    <row r="2" spans="1:7">
      <c r="A2" s="24" t="s">
        <v>32</v>
      </c>
      <c r="B2" s="24" t="s">
        <v>31</v>
      </c>
      <c r="C2" s="38" t="s">
        <v>19</v>
      </c>
      <c r="D2" s="23" t="s">
        <v>28</v>
      </c>
    </row>
    <row r="3" spans="1:7">
      <c r="A3" s="48" t="str">
        <f>$B$3&amp;"-"&amp;C3</f>
        <v>Conservador-PAPEL</v>
      </c>
      <c r="B3" s="39" t="s">
        <v>30</v>
      </c>
      <c r="C3" s="40" t="s">
        <v>22</v>
      </c>
      <c r="D3" s="41">
        <v>0.3</v>
      </c>
    </row>
    <row r="4" spans="1:7">
      <c r="A4" s="48" t="str">
        <f t="shared" ref="A4:A8" si="0">$B$3&amp;"-"&amp;C4</f>
        <v>Conservador-TIIJOLO</v>
      </c>
      <c r="B4" s="39" t="s">
        <v>30</v>
      </c>
      <c r="C4" s="40" t="s">
        <v>23</v>
      </c>
      <c r="D4" s="41">
        <v>0.5</v>
      </c>
      <c r="G4" s="11" t="s">
        <v>28</v>
      </c>
    </row>
    <row r="5" spans="1:7">
      <c r="A5" s="48" t="str">
        <f t="shared" si="0"/>
        <v>Conservador-HIBRIDOS</v>
      </c>
      <c r="B5" s="39" t="s">
        <v>30</v>
      </c>
      <c r="C5" s="40" t="s">
        <v>26</v>
      </c>
      <c r="D5" s="41">
        <v>0.1</v>
      </c>
      <c r="F5" s="21" t="s">
        <v>33</v>
      </c>
      <c r="G5" s="50">
        <f>VLOOKUP(F5,Tabela,4,FALSE)</f>
        <v>0.35</v>
      </c>
    </row>
    <row r="6" spans="1:7">
      <c r="A6" s="48" t="str">
        <f t="shared" si="0"/>
        <v>Conservador-FOF's</v>
      </c>
      <c r="B6" s="39" t="s">
        <v>30</v>
      </c>
      <c r="C6" s="40" t="s">
        <v>27</v>
      </c>
      <c r="D6" s="41">
        <v>0.1</v>
      </c>
    </row>
    <row r="7" spans="1:7">
      <c r="A7" s="48" t="str">
        <f t="shared" si="0"/>
        <v>Conservador-DESENVOLVIMENTO</v>
      </c>
      <c r="B7" s="39" t="s">
        <v>30</v>
      </c>
      <c r="C7" s="40" t="s">
        <v>24</v>
      </c>
      <c r="D7" s="41">
        <v>0</v>
      </c>
    </row>
    <row r="8" spans="1:7" ht="15.75" thickBot="1">
      <c r="A8" s="49" t="str">
        <f t="shared" si="0"/>
        <v>Conservador-HOTELARIAS</v>
      </c>
      <c r="B8" s="42" t="s">
        <v>30</v>
      </c>
      <c r="C8" s="43" t="s">
        <v>25</v>
      </c>
      <c r="D8" s="44">
        <v>0</v>
      </c>
    </row>
    <row r="9" spans="1:7">
      <c r="A9" s="48" t="str">
        <f>$B$9&amp;"-"&amp;C9</f>
        <v>Moderado-PAPEL</v>
      </c>
      <c r="B9" s="45" t="s">
        <v>29</v>
      </c>
      <c r="C9" s="46" t="s">
        <v>22</v>
      </c>
      <c r="D9" s="47">
        <v>0.32</v>
      </c>
    </row>
    <row r="10" spans="1:7">
      <c r="A10" s="48" t="str">
        <f t="shared" ref="A10:A14" si="1">$B$9&amp;"-"&amp;C10</f>
        <v>Moderado-TIIJOLO</v>
      </c>
      <c r="B10" s="39" t="s">
        <v>29</v>
      </c>
      <c r="C10" s="40" t="s">
        <v>23</v>
      </c>
      <c r="D10" s="41">
        <v>0.35</v>
      </c>
    </row>
    <row r="11" spans="1:7">
      <c r="A11" s="48" t="str">
        <f t="shared" si="1"/>
        <v>Moderado-HIBRIDOS</v>
      </c>
      <c r="B11" s="39" t="s">
        <v>29</v>
      </c>
      <c r="C11" s="40" t="s">
        <v>26</v>
      </c>
      <c r="D11" s="41">
        <v>0.08</v>
      </c>
    </row>
    <row r="12" spans="1:7">
      <c r="A12" s="48" t="str">
        <f t="shared" si="1"/>
        <v>Moderado-FOF's</v>
      </c>
      <c r="B12" s="39" t="s">
        <v>29</v>
      </c>
      <c r="C12" s="40" t="s">
        <v>27</v>
      </c>
      <c r="D12" s="41">
        <v>0.05</v>
      </c>
    </row>
    <row r="13" spans="1:7">
      <c r="A13" s="48" t="str">
        <f t="shared" si="1"/>
        <v>Moderado-DESENVOLVIMENTO</v>
      </c>
      <c r="B13" s="39" t="s">
        <v>29</v>
      </c>
      <c r="C13" s="40" t="s">
        <v>24</v>
      </c>
      <c r="D13" s="41">
        <v>0.1</v>
      </c>
    </row>
    <row r="14" spans="1:7" ht="15.75" thickBot="1">
      <c r="A14" s="49" t="str">
        <f t="shared" si="1"/>
        <v>Moderado-HOTELARIAS</v>
      </c>
      <c r="B14" s="42" t="s">
        <v>29</v>
      </c>
      <c r="C14" s="43" t="s">
        <v>25</v>
      </c>
      <c r="D14" s="44">
        <v>0.1</v>
      </c>
    </row>
    <row r="15" spans="1:7">
      <c r="A15" s="22" t="str">
        <f>$B$15&amp;"-"&amp;C15</f>
        <v>Agressivo-PAPEL</v>
      </c>
      <c r="B15" s="36" t="s">
        <v>34</v>
      </c>
      <c r="C15" s="25" t="s">
        <v>22</v>
      </c>
      <c r="D15" s="37">
        <v>0.5</v>
      </c>
    </row>
    <row r="16" spans="1:7">
      <c r="A16" s="22" t="str">
        <f t="shared" ref="A16:A20" si="2">$B$15&amp;"-"&amp;C16</f>
        <v>Agressivo-TIIJOLO</v>
      </c>
      <c r="B16" s="36" t="s">
        <v>34</v>
      </c>
      <c r="C16" s="25" t="s">
        <v>23</v>
      </c>
      <c r="D16" s="37">
        <v>0.1</v>
      </c>
    </row>
    <row r="17" spans="1:4">
      <c r="A17" s="22" t="str">
        <f t="shared" si="2"/>
        <v>Agressivo-HIBRIDOS</v>
      </c>
      <c r="B17" s="36" t="s">
        <v>34</v>
      </c>
      <c r="C17" s="25" t="s">
        <v>26</v>
      </c>
      <c r="D17" s="37">
        <v>0.05</v>
      </c>
    </row>
    <row r="18" spans="1:4">
      <c r="A18" s="22" t="str">
        <f t="shared" si="2"/>
        <v>Agressivo-FOF's</v>
      </c>
      <c r="B18" s="36" t="s">
        <v>34</v>
      </c>
      <c r="C18" s="25" t="s">
        <v>27</v>
      </c>
      <c r="D18" s="37">
        <v>0.05</v>
      </c>
    </row>
    <row r="19" spans="1:4">
      <c r="A19" s="22" t="str">
        <f t="shared" si="2"/>
        <v>Agressivo-DESENVOLVIMENTO</v>
      </c>
      <c r="B19" s="36" t="s">
        <v>34</v>
      </c>
      <c r="C19" s="25" t="s">
        <v>24</v>
      </c>
      <c r="D19" s="37">
        <v>0.2</v>
      </c>
    </row>
    <row r="20" spans="1:4">
      <c r="A20" s="22" t="str">
        <f t="shared" si="2"/>
        <v>Agressivo-HOTELARIAS</v>
      </c>
      <c r="B20" s="36" t="s">
        <v>34</v>
      </c>
      <c r="C20" s="25" t="s">
        <v>25</v>
      </c>
      <c r="D20" s="37">
        <v>0.1</v>
      </c>
    </row>
  </sheetData>
  <pageMargins left="0.511811024" right="0.511811024" top="0.78740157499999996" bottom="0.78740157499999996" header="0.31496062000000002" footer="0.31496062000000002"/>
  <ignoredErrors>
    <ignoredError sqref="A9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Tabela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Luiz</dc:creator>
  <cp:lastModifiedBy>André Luiz</cp:lastModifiedBy>
  <dcterms:created xsi:type="dcterms:W3CDTF">2026-01-03T06:14:43Z</dcterms:created>
  <dcterms:modified xsi:type="dcterms:W3CDTF">2026-01-11T04:59:09Z</dcterms:modified>
</cp:coreProperties>
</file>